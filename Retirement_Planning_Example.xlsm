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rathamesh Kulkarni\Dropbox\"/>
    </mc:Choice>
  </mc:AlternateContent>
  <bookViews>
    <workbookView xWindow="0" yWindow="0" windowWidth="17280" windowHeight="8970"/>
  </bookViews>
  <sheets>
    <sheet name="Retirement Savings" sheetId="1" r:id="rId1"/>
  </sheets>
  <functionGroups builtInGroupCount="18"/>
  <definedNames>
    <definedName name="solver_adj" localSheetId="0" hidden="1">'Retirement Savings'!$B$16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'Retirement Savings'!$B$18</definedName>
    <definedName name="solver_pre" localSheetId="0" hidden="1">0.0001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375000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1" l="1"/>
  <c r="B18" i="1" l="1"/>
</calcChain>
</file>

<file path=xl/sharedStrings.xml><?xml version="1.0" encoding="utf-8"?>
<sst xmlns="http://schemas.openxmlformats.org/spreadsheetml/2006/main" count="19" uniqueCount="19">
  <si>
    <t>Starting Savings</t>
  </si>
  <si>
    <t>Expected % of Income Saved</t>
  </si>
  <si>
    <t>Expected Annual Income Growth (%)</t>
  </si>
  <si>
    <t>Expected Annual Inflation (%)</t>
  </si>
  <si>
    <t>Current Annual Income</t>
  </si>
  <si>
    <t>Expected Years Until Retirement</t>
  </si>
  <si>
    <t>Expected Return on Savings (%)</t>
  </si>
  <si>
    <t>Final nominal savings</t>
  </si>
  <si>
    <t>Final real savings</t>
  </si>
  <si>
    <t>Year</t>
  </si>
  <si>
    <t>Nominal savings</t>
  </si>
  <si>
    <t>Real savings</t>
  </si>
  <si>
    <t>Expected Lifespan After Retirement</t>
  </si>
  <si>
    <t>Desired Inheritance (in real terms)</t>
  </si>
  <si>
    <t>SUMMARY OF RESULTS</t>
  </si>
  <si>
    <t>Proposed nominal monthly withdrawal</t>
  </si>
  <si>
    <t>Remaining inheritance in nominal terms</t>
  </si>
  <si>
    <t>Remaining inheritance in real terms</t>
  </si>
  <si>
    <t>Savings Projections Pre-Retirement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</si>
</sst>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(&quot;$&quot;* #,##0.00_);_(&quot;$&quot;* \(#,##0.00\);_(&quot;$&quot;* &quot;-&quot;??_);_(@_)"/>
    <numFmt numFmtId="164" formatCode="_([$$-409]* #,##0.00_);_([$$-409]* \(#,##0.00\);_([$$-409]* &quot;-&quot;??_);_(@_)"/>
    <numFmt numFmtId="165" formatCode="&quot;$&quot;#,##0.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i/>
      <sz val="11"/>
      <color rgb="FF7F7F7F"/>
      <name val="Calibri"/>
      <family val="2"/>
      <scheme val="minor"/>
    </font>
    <font>
      <b/>
      <sz val="11"/>
      <color rgb="FF00FF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2" borderId="2" applyNumberFormat="0" applyAlignment="0" applyProtection="0"/>
    <xf numFmtId="0" fontId="6" fillId="3" borderId="2" applyNumberFormat="0" applyAlignment="0" applyProtection="0"/>
    <xf numFmtId="0" fontId="8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165" fontId="0" fillId="0" borderId="0" xfId="0" applyNumberFormat="1"/>
    <xf numFmtId="44" fontId="0" fillId="0" borderId="0" xfId="0" applyNumberFormat="1"/>
    <xf numFmtId="44" fontId="5" fillId="2" borderId="2" xfId="3" applyNumberFormat="1"/>
    <xf numFmtId="164" fontId="5" fillId="2" borderId="2" xfId="3" applyNumberFormat="1"/>
    <xf numFmtId="9" fontId="5" fillId="2" borderId="2" xfId="3" applyNumberFormat="1"/>
    <xf numFmtId="0" fontId="5" fillId="2" borderId="2" xfId="3" applyNumberFormat="1"/>
    <xf numFmtId="0" fontId="6" fillId="3" borderId="2" xfId="4" applyFont="1"/>
    <xf numFmtId="0" fontId="7" fillId="0" borderId="0" xfId="1" applyFont="1"/>
    <xf numFmtId="0" fontId="4" fillId="0" borderId="1" xfId="2" applyFont="1"/>
    <xf numFmtId="165" fontId="8" fillId="0" borderId="0" xfId="5" applyNumberFormat="1"/>
    <xf numFmtId="165" fontId="9" fillId="0" borderId="0" xfId="0" applyNumberFormat="1" applyFont="1"/>
  </cellXfs>
  <cellStyles count="6">
    <cellStyle name="Calculation" xfId="4" builtinId="22"/>
    <cellStyle name="Explanatory Text" xfId="5" builtinId="53"/>
    <cellStyle name="Heading 3" xfId="2" builtinId="18"/>
    <cellStyle name="Input" xfId="3" builtinId="20"/>
    <cellStyle name="Normal" xfId="0" builtinId="0"/>
    <cellStyle name="Titl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9525</xdr:rowOff>
        </xdr:from>
        <xdr:to>
          <xdr:col>7</xdr:col>
          <xdr:colOff>38100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savings information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5"/>
  <sheetViews>
    <sheetView tabSelected="1" workbookViewId="0">
      <selection activeCell="D17" sqref="D17"/>
    </sheetView>
  </sheetViews>
  <sheetFormatPr defaultRowHeight="15" x14ac:dyDescent="0.25"/>
  <cols>
    <col min="1" max="1" width="37.140625" style="1" bestFit="1" customWidth="1"/>
    <col min="2" max="2" width="15.5703125" bestFit="1" customWidth="1"/>
    <col min="3" max="3" width="12.7109375" bestFit="1" customWidth="1"/>
    <col min="4" max="6" width="12.5703125" bestFit="1" customWidth="1"/>
    <col min="7" max="13" width="11.140625" bestFit="1" customWidth="1"/>
    <col min="14" max="22" width="12.7109375" bestFit="1" customWidth="1"/>
  </cols>
  <sheetData>
    <row r="1" spans="1:4" x14ac:dyDescent="0.25">
      <c r="A1" s="8" t="s">
        <v>0</v>
      </c>
      <c r="B1" s="4">
        <v>300000</v>
      </c>
    </row>
    <row r="2" spans="1:4" x14ac:dyDescent="0.25">
      <c r="A2" s="8" t="s">
        <v>4</v>
      </c>
      <c r="B2" s="5">
        <v>200000</v>
      </c>
    </row>
    <row r="3" spans="1:4" x14ac:dyDescent="0.25">
      <c r="A3" s="8" t="s">
        <v>2</v>
      </c>
      <c r="B3" s="6">
        <v>0.02</v>
      </c>
      <c r="D3" s="3"/>
    </row>
    <row r="4" spans="1:4" x14ac:dyDescent="0.25">
      <c r="A4" s="8" t="s">
        <v>1</v>
      </c>
      <c r="B4" s="6">
        <v>0.12</v>
      </c>
    </row>
    <row r="5" spans="1:4" x14ac:dyDescent="0.25">
      <c r="A5" s="8" t="s">
        <v>6</v>
      </c>
      <c r="B5" s="6">
        <v>0.05</v>
      </c>
    </row>
    <row r="6" spans="1:4" x14ac:dyDescent="0.25">
      <c r="A6" s="8" t="s">
        <v>3</v>
      </c>
      <c r="B6" s="6">
        <v>0.02</v>
      </c>
    </row>
    <row r="7" spans="1:4" x14ac:dyDescent="0.25">
      <c r="A7" s="8" t="s">
        <v>5</v>
      </c>
      <c r="B7" s="7">
        <v>15</v>
      </c>
    </row>
    <row r="8" spans="1:4" x14ac:dyDescent="0.25">
      <c r="A8" s="8" t="s">
        <v>12</v>
      </c>
      <c r="B8" s="7">
        <v>17</v>
      </c>
    </row>
    <row r="9" spans="1:4" x14ac:dyDescent="0.25">
      <c r="A9" s="8" t="s">
        <v>13</v>
      </c>
      <c r="B9" s="4">
        <v>375000</v>
      </c>
    </row>
    <row r="12" spans="1:4" ht="23.25" x14ac:dyDescent="0.35">
      <c r="A12" s="9" t="s">
        <v>14</v>
      </c>
    </row>
    <row r="14" spans="1:4" x14ac:dyDescent="0.25">
      <c r="A14" s="1" t="s">
        <v>7</v>
      </c>
      <c r="B14" s="2">
        <v>1210126.326693201</v>
      </c>
    </row>
    <row r="15" spans="1:4" x14ac:dyDescent="0.25">
      <c r="A15" s="1" t="s">
        <v>8</v>
      </c>
      <c r="B15" s="2">
        <v>899141.68587994692</v>
      </c>
    </row>
    <row r="16" spans="1:4" x14ac:dyDescent="0.25">
      <c r="A16" s="1" t="s">
        <v>15</v>
      </c>
      <c r="B16" s="2">
        <v>6517.4430626189351</v>
      </c>
    </row>
    <row r="17" spans="1:16" x14ac:dyDescent="0.25">
      <c r="A17" s="1" t="s">
        <v>16</v>
      </c>
      <c r="B17" s="11">
        <f>nominalMonthlyWithdrawal($B$14, $B$16, $B$8, $B$5)</f>
        <v>706768.66749999998</v>
      </c>
      <c r="D17" s="2"/>
    </row>
    <row r="18" spans="1:16" x14ac:dyDescent="0.25">
      <c r="A18" s="1" t="s">
        <v>17</v>
      </c>
      <c r="B18" s="11">
        <f>$B$17/((1+$B$6)^($B$7+$B$8))</f>
        <v>375034.99285839376</v>
      </c>
      <c r="C18" s="12">
        <v>34.99</v>
      </c>
    </row>
    <row r="22" spans="1:16" ht="15.75" thickBot="1" x14ac:dyDescent="0.3">
      <c r="A22" s="10" t="s">
        <v>18</v>
      </c>
    </row>
    <row r="23" spans="1:16" x14ac:dyDescent="0.25">
      <c r="A23" s="1" t="s">
        <v>9</v>
      </c>
      <c r="B23">
        <v>1</v>
      </c>
      <c r="C23">
        <v>2</v>
      </c>
      <c r="D23">
        <v>3</v>
      </c>
      <c r="E23">
        <v>4</v>
      </c>
      <c r="F23">
        <v>5</v>
      </c>
      <c r="G23">
        <v>6</v>
      </c>
      <c r="H23">
        <v>7</v>
      </c>
      <c r="I23">
        <v>8</v>
      </c>
      <c r="J23">
        <v>9</v>
      </c>
      <c r="K23">
        <v>10</v>
      </c>
      <c r="L23">
        <v>11</v>
      </c>
      <c r="M23">
        <v>12</v>
      </c>
      <c r="N23">
        <v>13</v>
      </c>
      <c r="O23">
        <v>14</v>
      </c>
      <c r="P23">
        <v>15</v>
      </c>
    </row>
    <row r="24" spans="1:16" x14ac:dyDescent="0.25">
      <c r="A24" s="1" t="s">
        <v>10</v>
      </c>
      <c r="B24" s="2">
        <v>339000</v>
      </c>
      <c r="C24" s="2">
        <v>380430</v>
      </c>
      <c r="D24" s="2">
        <v>424421.1</v>
      </c>
      <c r="E24" s="2">
        <v>471111.147</v>
      </c>
      <c r="F24" s="2">
        <v>520645.07618999999</v>
      </c>
      <c r="G24" s="2">
        <v>573175.2692763001</v>
      </c>
      <c r="H24" s="2">
        <v>628861.9308024511</v>
      </c>
      <c r="I24" s="2">
        <v>687873.48336615635</v>
      </c>
      <c r="J24" s="2">
        <v>750386.98267851851</v>
      </c>
      <c r="K24" s="2">
        <v>816588.55345937994</v>
      </c>
      <c r="L24" s="2">
        <v>886673.84721222322</v>
      </c>
      <c r="M24" s="2">
        <v>960848.52297430602</v>
      </c>
      <c r="N24" s="2">
        <v>1039328.7521925224</v>
      </c>
      <c r="O24" s="2">
        <v>1122341.7489330398</v>
      </c>
      <c r="P24" s="2">
        <v>1210126.326693201</v>
      </c>
    </row>
    <row r="25" spans="1:16" x14ac:dyDescent="0.25">
      <c r="A25" s="1" t="s">
        <v>11</v>
      </c>
      <c r="B25" s="2">
        <v>332352.9411764706</v>
      </c>
      <c r="C25" s="2">
        <v>365657.4394463668</v>
      </c>
      <c r="D25" s="2">
        <v>399941.48178302456</v>
      </c>
      <c r="E25" s="2">
        <v>435233.87830605474</v>
      </c>
      <c r="F25" s="2">
        <v>471564.28649152693</v>
      </c>
      <c r="G25" s="2">
        <v>508963.23609421897</v>
      </c>
      <c r="H25" s="2">
        <v>547462.15480287245</v>
      </c>
      <c r="I25" s="2">
        <v>587093.39465001575</v>
      </c>
      <c r="J25" s="2">
        <v>627890.25919854559</v>
      </c>
      <c r="K25" s="2">
        <v>669887.03152791457</v>
      </c>
      <c r="L25" s="2">
        <v>713119.00304344157</v>
      </c>
      <c r="M25" s="2">
        <v>757622.50313295459</v>
      </c>
      <c r="N25" s="2">
        <v>803434.92969568842</v>
      </c>
      <c r="O25" s="2">
        <v>850594.78056909121</v>
      </c>
      <c r="P25" s="2">
        <v>899141.68587994692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orecastSavings">
                <anchor moveWithCells="1" sizeWithCells="1">
                  <from>
                    <xdr:col>4</xdr:col>
                    <xdr:colOff>47625</xdr:colOff>
                    <xdr:row>3</xdr:row>
                    <xdr:rowOff>9525</xdr:rowOff>
                  </from>
                  <to>
                    <xdr:col>7</xdr:col>
                    <xdr:colOff>38100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Retirement Savings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Prathamesh Kulkarni</dc:creator>
  <cp:lastModifiedBy>Prathamesh Kulkarni</cp:lastModifiedBy>
  <dcterms:created xsi:type="dcterms:W3CDTF">2016-06-28T13:49:56Z</dcterms:created>
  <dcterms:modified xsi:type="dcterms:W3CDTF">2016-06-29T23:52:20Z</dcterms:modified>
</cp:coreProperties>
</file>